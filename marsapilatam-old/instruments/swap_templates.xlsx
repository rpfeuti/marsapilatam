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Projetos\MARSAPI\marsapi\deal_port_metrics\swpm_krr\"/>
    </mc:Choice>
  </mc:AlternateContent>
  <bookViews>
    <workbookView xWindow="0" yWindow="0" windowWidth="26040" windowHeight="11970" tabRatio="345"/>
  </bookViews>
  <sheets>
    <sheet name="Templates" sheetId="28" r:id="rId1"/>
  </sheets>
  <definedNames>
    <definedName name="_xlnm._FilterDatabase" localSheetId="0" hidden="1">Templates!#REF!</definedName>
    <definedName name="Boolean">#REF!</definedName>
    <definedName name="CalcBasis">#REF!</definedName>
    <definedName name="CsaCollateralCurrency">#REF!</definedName>
    <definedName name="Currencies">#REF!</definedName>
    <definedName name="DayCount">#REF!</definedName>
    <definedName name="IndexName">#REF!</definedName>
    <definedName name="Maturity">#REF!</definedName>
    <definedName name="OptionDeliveryMethod">#REF!</definedName>
    <definedName name="OptionPosition">#REF!</definedName>
    <definedName name="OptionStyle">#REF!</definedName>
    <definedName name="PayFreq">#REF!</definedName>
    <definedName name="PayoffSide">#REF!</definedName>
    <definedName name="PrincipalExchange">#REF!</definedName>
    <definedName name="SolverCapsFloors">#REF!</definedName>
    <definedName name="SolverIR.FXFL">#REF!</definedName>
    <definedName name="SolverIR.NDIRS">#REF!</definedName>
    <definedName name="SolverIR.NDS">#REF!</definedName>
    <definedName name="SolverIR.NDSFX">#REF!</definedName>
    <definedName name="Valuation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28" l="1"/>
  <c r="P5" i="28"/>
  <c r="N5" i="28"/>
  <c r="U7" i="28"/>
  <c r="N7" i="28"/>
  <c r="U4" i="28"/>
  <c r="P4" i="28"/>
  <c r="N4" i="28"/>
  <c r="U6" i="28"/>
  <c r="N6" i="28"/>
  <c r="U3" i="28"/>
  <c r="P3" i="28"/>
  <c r="N3" i="28"/>
  <c r="U2" i="28"/>
  <c r="P2" i="28"/>
  <c r="N2" i="28"/>
</calcChain>
</file>

<file path=xl/sharedStrings.xml><?xml version="1.0" encoding="utf-8"?>
<sst xmlns="http://schemas.openxmlformats.org/spreadsheetml/2006/main" count="217" uniqueCount="70">
  <si>
    <t>Leg[1].Currency</t>
  </si>
  <si>
    <t>Leg[1].Notional</t>
  </si>
  <si>
    <t>Leg[1].Spread</t>
  </si>
  <si>
    <t>Leg[1].PayFrequency</t>
  </si>
  <si>
    <t>Leg[1].DayCount</t>
  </si>
  <si>
    <t>Leg[2].Currency</t>
  </si>
  <si>
    <t>Leg[2].Notional</t>
  </si>
  <si>
    <t>Leg[2].Spread</t>
  </si>
  <si>
    <t>Leg[2].FloatingIndex</t>
  </si>
  <si>
    <t>Leg[2].PayFrequency</t>
  </si>
  <si>
    <t>Leg[2].DayCount</t>
  </si>
  <si>
    <t>Pay</t>
  </si>
  <si>
    <t>DealType</t>
  </si>
  <si>
    <t>CsaCollateralCurrency</t>
  </si>
  <si>
    <t>USD</t>
  </si>
  <si>
    <t>CLF</t>
  </si>
  <si>
    <t>CLP</t>
  </si>
  <si>
    <t>COP</t>
  </si>
  <si>
    <t>MXN</t>
  </si>
  <si>
    <t>Receive</t>
  </si>
  <si>
    <t>SemiAnnual</t>
  </si>
  <si>
    <t>ACT/360</t>
  </si>
  <si>
    <t>28 Days</t>
  </si>
  <si>
    <t>SOFRRATE</t>
  </si>
  <si>
    <t>MXIBTIIE</t>
  </si>
  <si>
    <t>Leg[2].Leverage</t>
  </si>
  <si>
    <t>COOVIBR</t>
  </si>
  <si>
    <t>CLICP</t>
  </si>
  <si>
    <t>At Maturity</t>
  </si>
  <si>
    <t>US0003M</t>
  </si>
  <si>
    <t>IR.NDIRS</t>
  </si>
  <si>
    <t>IR.NDS</t>
  </si>
  <si>
    <t>Leg[1].Direction</t>
  </si>
  <si>
    <t>Leg[1].FixedRate</t>
  </si>
  <si>
    <t>Leg[2].Direction</t>
  </si>
  <si>
    <t>IR.FLFL</t>
  </si>
  <si>
    <t>IR.NDSFX</t>
  </si>
  <si>
    <t>Leg[1].Leverage</t>
  </si>
  <si>
    <t>Leg[1].FloatingIndex</t>
  </si>
  <si>
    <t>Leg[2].FixedRate</t>
  </si>
  <si>
    <t>FXFX USD CLP</t>
  </si>
  <si>
    <t>FXFX USD MXN</t>
  </si>
  <si>
    <t>FXFX CLP CLF</t>
  </si>
  <si>
    <t>FXFX CLF USD</t>
  </si>
  <si>
    <t>FLFL USD MXN</t>
  </si>
  <si>
    <t>FLFL USD CLP</t>
  </si>
  <si>
    <t>FXFL USD (SOFR)</t>
  </si>
  <si>
    <t>FLFL USD (SOFR x LIBOR 3M)</t>
  </si>
  <si>
    <t>FXFL USD CLP</t>
  </si>
  <si>
    <t>Template</t>
  </si>
  <si>
    <t>Monthly</t>
  </si>
  <si>
    <t>FXFL MXN (Swap TIIE)</t>
  </si>
  <si>
    <t>FXFL CLP (Camara)</t>
  </si>
  <si>
    <t>FXFL CLF CLP (UF)</t>
  </si>
  <si>
    <t>FXFL COP (Swap IBR)</t>
  </si>
  <si>
    <t>SettlementCurrency</t>
  </si>
  <si>
    <t>Leg[1].FwdCurve</t>
  </si>
  <si>
    <t>Leg[1].DiscCurve</t>
  </si>
  <si>
    <t>Leg[2].FwdCurve</t>
  </si>
  <si>
    <t>Leg[2].DiscCurve</t>
  </si>
  <si>
    <t>S428</t>
  </si>
  <si>
    <t>S83</t>
  </si>
  <si>
    <t>S490</t>
  </si>
  <si>
    <t>S193</t>
  </si>
  <si>
    <t>S423</t>
  </si>
  <si>
    <t>S440</t>
  </si>
  <si>
    <t>S438</t>
  </si>
  <si>
    <t>S329</t>
  </si>
  <si>
    <t>S23</t>
  </si>
  <si>
    <t>IR.OIS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</si>
</sst>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"/>
  </numFmts>
  <fonts count="3" x14ac:knownFonts="1"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4" fontId="2" fillId="3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4" fontId="2" fillId="3" borderId="3" xfId="0" applyNumberFormat="1" applyFont="1" applyFill="1" applyBorder="1" applyAlignment="1">
      <alignment horizontal="left"/>
    </xf>
    <xf numFmtId="164" fontId="2" fillId="3" borderId="3" xfId="0" applyNumberFormat="1" applyFont="1" applyFill="1" applyBorder="1" applyAlignment="1">
      <alignment horizontal="left"/>
    </xf>
    <xf numFmtId="4" fontId="2" fillId="0" borderId="3" xfId="0" applyNumberFormat="1" applyFont="1" applyBorder="1" applyAlignment="1">
      <alignment horizontal="right"/>
    </xf>
    <xf numFmtId="4" fontId="2" fillId="0" borderId="0" xfId="0" applyNumberFormat="1" applyFont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4" fontId="2" fillId="0" borderId="4" xfId="0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4" fontId="2" fillId="3" borderId="4" xfId="0" applyNumberFormat="1" applyFont="1" applyFill="1" applyBorder="1" applyAlignment="1">
      <alignment horizontal="left"/>
    </xf>
    <xf numFmtId="164" fontId="2" fillId="3" borderId="4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showGridLines="0" tabSelected="1" zoomScale="85" zoomScaleNormal="85" workbookViewId="0">
      <selection activeCell="B6" sqref="B6"/>
    </sheetView>
  </sheetViews>
  <sheetFormatPr defaultColWidth="8.140625" defaultRowHeight="23.25" x14ac:dyDescent="0.35"/>
  <cols>
    <col min="1" max="1" width="42.7109375" style="1" bestFit="1" customWidth="1"/>
    <col min="2" max="2" width="14.7109375" style="1" customWidth="1"/>
    <col min="3" max="3" width="33.7109375" style="1" bestFit="1" customWidth="1"/>
    <col min="4" max="4" width="31.5703125" style="1" bestFit="1" customWidth="1"/>
    <col min="5" max="5" width="24.85546875" style="1" bestFit="1" customWidth="1"/>
    <col min="6" max="6" width="22.42578125" style="1" customWidth="1"/>
    <col min="7" max="7" width="24.5703125" style="1" bestFit="1" customWidth="1"/>
    <col min="8" max="8" width="19.85546875" style="1" bestFit="1" customWidth="1"/>
    <col min="9" max="9" width="22.5703125" style="1" bestFit="1" customWidth="1"/>
    <col min="10" max="10" width="28.5703125" style="1" bestFit="1" customWidth="1"/>
    <col min="11" max="11" width="23.5703125" style="1" customWidth="1"/>
    <col min="12" max="12" width="29.42578125" style="1" bestFit="1" customWidth="1"/>
    <col min="13" max="13" width="23.42578125" style="1" bestFit="1" customWidth="1"/>
    <col min="14" max="14" width="22.7109375" style="1" bestFit="1" customWidth="1"/>
    <col min="15" max="15" width="22.42578125" style="1" bestFit="1" customWidth="1"/>
    <col min="16" max="16" width="24.5703125" style="1" bestFit="1" customWidth="1"/>
    <col min="17" max="17" width="19.85546875" style="1" bestFit="1" customWidth="1"/>
    <col min="18" max="18" width="22.5703125" style="1" bestFit="1" customWidth="1"/>
    <col min="19" max="19" width="28.5703125" style="1" bestFit="1" customWidth="1"/>
    <col min="20" max="20" width="23.5703125" style="1" bestFit="1" customWidth="1"/>
    <col min="21" max="21" width="29.42578125" style="1" bestFit="1" customWidth="1"/>
    <col min="22" max="22" width="23.42578125" style="1" bestFit="1" customWidth="1"/>
    <col min="23" max="23" width="23.85546875" style="1" customWidth="1"/>
    <col min="24" max="24" width="23.5703125" style="1" bestFit="1" customWidth="1"/>
    <col min="25" max="25" width="23.85546875" style="1" bestFit="1" customWidth="1"/>
    <col min="26" max="26" width="23.5703125" style="1" bestFit="1" customWidth="1"/>
    <col min="27" max="27" width="10.42578125" style="1" bestFit="1" customWidth="1"/>
    <col min="28" max="28" width="8.140625" style="1"/>
    <col min="29" max="30" width="28.140625" style="1" bestFit="1" customWidth="1"/>
    <col min="31" max="16384" width="8.140625" style="1"/>
  </cols>
  <sheetData>
    <row r="1" spans="1:26" x14ac:dyDescent="0.35">
      <c r="A1" s="17" t="s">
        <v>49</v>
      </c>
      <c r="B1" s="17" t="s">
        <v>12</v>
      </c>
      <c r="C1" s="17" t="s">
        <v>13</v>
      </c>
      <c r="D1" s="17" t="s">
        <v>55</v>
      </c>
      <c r="E1" s="17" t="s">
        <v>32</v>
      </c>
      <c r="F1" s="17" t="s">
        <v>0</v>
      </c>
      <c r="G1" s="17" t="s">
        <v>1</v>
      </c>
      <c r="H1" s="17" t="s">
        <v>2</v>
      </c>
      <c r="I1" s="17" t="s">
        <v>37</v>
      </c>
      <c r="J1" s="17" t="s">
        <v>38</v>
      </c>
      <c r="K1" s="17" t="s">
        <v>33</v>
      </c>
      <c r="L1" s="17" t="s">
        <v>3</v>
      </c>
      <c r="M1" s="17" t="s">
        <v>4</v>
      </c>
      <c r="N1" s="17" t="s">
        <v>34</v>
      </c>
      <c r="O1" s="17" t="s">
        <v>5</v>
      </c>
      <c r="P1" s="17" t="s">
        <v>6</v>
      </c>
      <c r="Q1" s="17" t="s">
        <v>7</v>
      </c>
      <c r="R1" s="17" t="s">
        <v>25</v>
      </c>
      <c r="S1" s="17" t="s">
        <v>8</v>
      </c>
      <c r="T1" s="17" t="s">
        <v>39</v>
      </c>
      <c r="U1" s="17" t="s">
        <v>9</v>
      </c>
      <c r="V1" s="17" t="s">
        <v>10</v>
      </c>
      <c r="W1" s="17" t="s">
        <v>56</v>
      </c>
      <c r="X1" s="17" t="s">
        <v>57</v>
      </c>
      <c r="Y1" s="17" t="s">
        <v>58</v>
      </c>
      <c r="Z1" s="17" t="s">
        <v>59</v>
      </c>
    </row>
    <row r="2" spans="1:26" x14ac:dyDescent="0.35">
      <c r="A2" s="18" t="s">
        <v>51</v>
      </c>
      <c r="B2" s="19" t="s">
        <v>30</v>
      </c>
      <c r="C2" s="19" t="s">
        <v>14</v>
      </c>
      <c r="D2" s="19" t="s">
        <v>18</v>
      </c>
      <c r="E2" s="20" t="s">
        <v>19</v>
      </c>
      <c r="F2" s="20" t="s">
        <v>18</v>
      </c>
      <c r="G2" s="24">
        <v>10000000</v>
      </c>
      <c r="H2" s="21"/>
      <c r="I2" s="21"/>
      <c r="J2" s="21"/>
      <c r="K2" s="24">
        <v>8.6999999999999993</v>
      </c>
      <c r="L2" s="20" t="s">
        <v>22</v>
      </c>
      <c r="M2" s="20" t="s">
        <v>21</v>
      </c>
      <c r="N2" s="19" t="str">
        <f t="shared" ref="N2" si="0">IF(E2="Pay","Receive","Pay")</f>
        <v>Pay</v>
      </c>
      <c r="O2" s="19" t="s">
        <v>18</v>
      </c>
      <c r="P2" s="22">
        <f t="shared" ref="P2" si="1">G2</f>
        <v>10000000</v>
      </c>
      <c r="Q2" s="22">
        <v>0</v>
      </c>
      <c r="R2" s="23">
        <v>1</v>
      </c>
      <c r="S2" s="19" t="s">
        <v>24</v>
      </c>
      <c r="T2" s="21"/>
      <c r="U2" s="19" t="str">
        <f t="shared" ref="U2:U5" si="2">L2</f>
        <v>28 Days</v>
      </c>
      <c r="V2" s="19" t="s">
        <v>21</v>
      </c>
      <c r="W2" s="21"/>
      <c r="X2" s="20" t="s">
        <v>60</v>
      </c>
      <c r="Y2" s="20" t="s">
        <v>61</v>
      </c>
      <c r="Z2" s="20" t="s">
        <v>60</v>
      </c>
    </row>
    <row r="3" spans="1:26" x14ac:dyDescent="0.35">
      <c r="A3" s="3" t="s">
        <v>46</v>
      </c>
      <c r="B3" s="4" t="s">
        <v>30</v>
      </c>
      <c r="C3" s="4" t="s">
        <v>14</v>
      </c>
      <c r="D3" s="4" t="s">
        <v>14</v>
      </c>
      <c r="E3" s="1" t="s">
        <v>19</v>
      </c>
      <c r="F3" s="1" t="s">
        <v>14</v>
      </c>
      <c r="G3" s="25">
        <v>50000000</v>
      </c>
      <c r="H3" s="6"/>
      <c r="I3" s="6"/>
      <c r="J3" s="6"/>
      <c r="K3" s="25">
        <v>2.8</v>
      </c>
      <c r="L3" s="1" t="s">
        <v>20</v>
      </c>
      <c r="M3" s="1" t="s">
        <v>21</v>
      </c>
      <c r="N3" s="4" t="str">
        <f>IF(E3="Pay","Receive","Pay")</f>
        <v>Pay</v>
      </c>
      <c r="O3" s="4" t="s">
        <v>14</v>
      </c>
      <c r="P3" s="5">
        <f>G3</f>
        <v>50000000</v>
      </c>
      <c r="Q3" s="5">
        <v>0</v>
      </c>
      <c r="R3" s="8">
        <v>1</v>
      </c>
      <c r="S3" s="4" t="s">
        <v>23</v>
      </c>
      <c r="T3" s="6"/>
      <c r="U3" s="4" t="str">
        <f t="shared" si="2"/>
        <v>SemiAnnual</v>
      </c>
      <c r="V3" s="4" t="s">
        <v>21</v>
      </c>
      <c r="W3" s="6"/>
      <c r="X3" s="1" t="s">
        <v>62</v>
      </c>
      <c r="Y3" s="1" t="s">
        <v>62</v>
      </c>
      <c r="Z3" s="1" t="s">
        <v>62</v>
      </c>
    </row>
    <row r="4" spans="1:26" x14ac:dyDescent="0.35">
      <c r="A4" s="3" t="s">
        <v>52</v>
      </c>
      <c r="B4" s="4" t="s">
        <v>30</v>
      </c>
      <c r="C4" s="4" t="s">
        <v>14</v>
      </c>
      <c r="D4" s="4" t="s">
        <v>16</v>
      </c>
      <c r="E4" s="1" t="s">
        <v>19</v>
      </c>
      <c r="F4" s="1" t="s">
        <v>16</v>
      </c>
      <c r="G4" s="25">
        <v>100000000</v>
      </c>
      <c r="H4" s="6"/>
      <c r="I4" s="6"/>
      <c r="J4" s="6"/>
      <c r="K4" s="25">
        <v>10</v>
      </c>
      <c r="L4" s="1" t="s">
        <v>28</v>
      </c>
      <c r="M4" s="1" t="s">
        <v>21</v>
      </c>
      <c r="N4" s="4" t="str">
        <f t="shared" ref="N4" si="3">IF(E4="Pay","Receive","Pay")</f>
        <v>Pay</v>
      </c>
      <c r="O4" s="4" t="s">
        <v>16</v>
      </c>
      <c r="P4" s="5">
        <f t="shared" ref="P4" si="4">G4</f>
        <v>100000000</v>
      </c>
      <c r="Q4" s="5">
        <v>0</v>
      </c>
      <c r="R4" s="8">
        <v>1</v>
      </c>
      <c r="S4" s="4" t="s">
        <v>27</v>
      </c>
      <c r="T4" s="6"/>
      <c r="U4" s="4" t="str">
        <f t="shared" si="2"/>
        <v>At Maturity</v>
      </c>
      <c r="V4" s="4" t="s">
        <v>21</v>
      </c>
      <c r="W4" s="6"/>
      <c r="X4" s="1" t="s">
        <v>64</v>
      </c>
      <c r="Y4" s="1" t="s">
        <v>63</v>
      </c>
      <c r="Z4" s="1" t="s">
        <v>64</v>
      </c>
    </row>
    <row r="5" spans="1:26" ht="24" thickBot="1" x14ac:dyDescent="0.4">
      <c r="A5" s="9" t="s">
        <v>54</v>
      </c>
      <c r="B5" s="10" t="s">
        <v>69</v>
      </c>
      <c r="C5" s="10" t="s">
        <v>14</v>
      </c>
      <c r="D5" s="10" t="s">
        <v>17</v>
      </c>
      <c r="E5" s="11" t="s">
        <v>19</v>
      </c>
      <c r="F5" s="11" t="s">
        <v>17</v>
      </c>
      <c r="G5" s="26">
        <v>100000000</v>
      </c>
      <c r="H5" s="14"/>
      <c r="I5" s="14"/>
      <c r="J5" s="14"/>
      <c r="K5" s="26">
        <v>10</v>
      </c>
      <c r="L5" s="11" t="s">
        <v>28</v>
      </c>
      <c r="M5" s="11" t="s">
        <v>21</v>
      </c>
      <c r="N5" s="10" t="str">
        <f>IF(E5="Pay","Receive","Pay")</f>
        <v>Pay</v>
      </c>
      <c r="O5" s="10" t="s">
        <v>17</v>
      </c>
      <c r="P5" s="15">
        <f>G5</f>
        <v>100000000</v>
      </c>
      <c r="Q5" s="15">
        <v>0</v>
      </c>
      <c r="R5" s="16">
        <v>1</v>
      </c>
      <c r="S5" s="10" t="s">
        <v>26</v>
      </c>
      <c r="T5" s="14"/>
      <c r="U5" s="10" t="str">
        <f t="shared" si="2"/>
        <v>At Maturity</v>
      </c>
      <c r="V5" s="10" t="s">
        <v>21</v>
      </c>
      <c r="W5" s="14"/>
      <c r="X5" s="11" t="s">
        <v>66</v>
      </c>
      <c r="Y5" s="11" t="s">
        <v>67</v>
      </c>
      <c r="Z5" s="11" t="s">
        <v>66</v>
      </c>
    </row>
    <row r="6" spans="1:26" x14ac:dyDescent="0.35">
      <c r="A6" s="30" t="s">
        <v>48</v>
      </c>
      <c r="B6" s="31" t="s">
        <v>31</v>
      </c>
      <c r="C6" s="31" t="s">
        <v>14</v>
      </c>
      <c r="D6" s="31" t="s">
        <v>14</v>
      </c>
      <c r="E6" s="32" t="s">
        <v>19</v>
      </c>
      <c r="F6" s="32" t="s">
        <v>14</v>
      </c>
      <c r="G6" s="33">
        <v>50000000</v>
      </c>
      <c r="H6" s="34"/>
      <c r="I6" s="34"/>
      <c r="J6" s="34"/>
      <c r="K6" s="33">
        <v>5.0527519999999999</v>
      </c>
      <c r="L6" s="32" t="s">
        <v>28</v>
      </c>
      <c r="M6" s="32" t="s">
        <v>21</v>
      </c>
      <c r="N6" s="31" t="str">
        <f>IF(E6="Pay","Receive","Pay")</f>
        <v>Pay</v>
      </c>
      <c r="O6" s="31" t="s">
        <v>16</v>
      </c>
      <c r="P6" s="34"/>
      <c r="Q6" s="35">
        <v>0</v>
      </c>
      <c r="R6" s="36">
        <v>1</v>
      </c>
      <c r="S6" s="31" t="s">
        <v>27</v>
      </c>
      <c r="T6" s="34"/>
      <c r="U6" s="31" t="str">
        <f>L6</f>
        <v>At Maturity</v>
      </c>
      <c r="V6" s="31" t="s">
        <v>21</v>
      </c>
      <c r="W6" s="34"/>
      <c r="X6" s="32" t="s">
        <v>62</v>
      </c>
      <c r="Y6" s="32" t="s">
        <v>63</v>
      </c>
      <c r="Z6" s="32" t="s">
        <v>64</v>
      </c>
    </row>
    <row r="7" spans="1:26" ht="24" thickBot="1" x14ac:dyDescent="0.4">
      <c r="A7" s="9" t="s">
        <v>53</v>
      </c>
      <c r="B7" s="10" t="s">
        <v>31</v>
      </c>
      <c r="C7" s="10" t="s">
        <v>14</v>
      </c>
      <c r="D7" s="10" t="s">
        <v>16</v>
      </c>
      <c r="E7" s="11" t="s">
        <v>19</v>
      </c>
      <c r="F7" s="11" t="s">
        <v>15</v>
      </c>
      <c r="G7" s="26">
        <v>850000</v>
      </c>
      <c r="H7" s="14"/>
      <c r="I7" s="14"/>
      <c r="J7" s="14"/>
      <c r="K7" s="26">
        <v>2.5</v>
      </c>
      <c r="L7" s="11" t="s">
        <v>20</v>
      </c>
      <c r="M7" s="11" t="s">
        <v>21</v>
      </c>
      <c r="N7" s="10" t="str">
        <f>IF(E7="Pay","Receive","Pay")</f>
        <v>Pay</v>
      </c>
      <c r="O7" s="10" t="s">
        <v>16</v>
      </c>
      <c r="P7" s="14"/>
      <c r="Q7" s="15">
        <v>0</v>
      </c>
      <c r="R7" s="16">
        <v>1</v>
      </c>
      <c r="S7" s="10" t="s">
        <v>27</v>
      </c>
      <c r="T7" s="14"/>
      <c r="U7" s="10" t="str">
        <f>L7</f>
        <v>SemiAnnual</v>
      </c>
      <c r="V7" s="10" t="s">
        <v>21</v>
      </c>
      <c r="W7" s="14"/>
      <c r="X7" s="11" t="s">
        <v>65</v>
      </c>
      <c r="Y7" s="11" t="s">
        <v>63</v>
      </c>
      <c r="Z7" s="11" t="s">
        <v>64</v>
      </c>
    </row>
    <row r="8" spans="1:26" x14ac:dyDescent="0.35">
      <c r="A8" s="3" t="s">
        <v>44</v>
      </c>
      <c r="B8" s="4" t="s">
        <v>35</v>
      </c>
      <c r="C8" s="4" t="s">
        <v>14</v>
      </c>
      <c r="D8" s="37"/>
      <c r="E8" s="1" t="s">
        <v>19</v>
      </c>
      <c r="F8" s="1" t="s">
        <v>14</v>
      </c>
      <c r="G8" s="25">
        <v>100000000</v>
      </c>
      <c r="H8" s="2">
        <v>0</v>
      </c>
      <c r="I8" s="7">
        <v>1</v>
      </c>
      <c r="J8" s="1" t="s">
        <v>23</v>
      </c>
      <c r="K8" s="28"/>
      <c r="L8" s="1" t="s">
        <v>28</v>
      </c>
      <c r="M8" s="1" t="s">
        <v>21</v>
      </c>
      <c r="N8" s="4" t="s">
        <v>11</v>
      </c>
      <c r="O8" s="4" t="s">
        <v>18</v>
      </c>
      <c r="P8" s="6"/>
      <c r="Q8" s="5">
        <v>0</v>
      </c>
      <c r="R8" s="8">
        <v>1</v>
      </c>
      <c r="S8" s="4" t="s">
        <v>24</v>
      </c>
      <c r="T8" s="6"/>
      <c r="U8" s="4" t="s">
        <v>28</v>
      </c>
      <c r="V8" s="4" t="s">
        <v>21</v>
      </c>
      <c r="W8" s="1" t="s">
        <v>62</v>
      </c>
      <c r="X8" s="1" t="s">
        <v>62</v>
      </c>
      <c r="Y8" s="1" t="s">
        <v>61</v>
      </c>
      <c r="Z8" s="1" t="s">
        <v>60</v>
      </c>
    </row>
    <row r="9" spans="1:26" x14ac:dyDescent="0.35">
      <c r="A9" s="3" t="s">
        <v>45</v>
      </c>
      <c r="B9" s="4" t="s">
        <v>35</v>
      </c>
      <c r="C9" s="4" t="s">
        <v>14</v>
      </c>
      <c r="D9" s="37"/>
      <c r="E9" s="1" t="s">
        <v>19</v>
      </c>
      <c r="F9" s="1" t="s">
        <v>14</v>
      </c>
      <c r="G9" s="25">
        <v>100000000</v>
      </c>
      <c r="H9" s="2">
        <v>0</v>
      </c>
      <c r="I9" s="7">
        <v>1</v>
      </c>
      <c r="J9" s="1" t="s">
        <v>23</v>
      </c>
      <c r="K9" s="28"/>
      <c r="L9" s="1" t="s">
        <v>28</v>
      </c>
      <c r="M9" s="1" t="s">
        <v>21</v>
      </c>
      <c r="N9" s="4" t="s">
        <v>11</v>
      </c>
      <c r="O9" s="4" t="s">
        <v>16</v>
      </c>
      <c r="P9" s="6"/>
      <c r="Q9" s="5">
        <v>0</v>
      </c>
      <c r="R9" s="8">
        <v>1</v>
      </c>
      <c r="S9" s="4" t="s">
        <v>27</v>
      </c>
      <c r="T9" s="6"/>
      <c r="U9" s="4" t="s">
        <v>28</v>
      </c>
      <c r="V9" s="4" t="s">
        <v>21</v>
      </c>
      <c r="W9" s="1" t="s">
        <v>62</v>
      </c>
      <c r="X9" s="1" t="s">
        <v>62</v>
      </c>
      <c r="Y9" s="1" t="s">
        <v>63</v>
      </c>
      <c r="Z9" s="1" t="s">
        <v>64</v>
      </c>
    </row>
    <row r="10" spans="1:26" ht="24" thickBot="1" x14ac:dyDescent="0.4">
      <c r="A10" s="9" t="s">
        <v>47</v>
      </c>
      <c r="B10" s="10" t="s">
        <v>35</v>
      </c>
      <c r="C10" s="10" t="s">
        <v>14</v>
      </c>
      <c r="D10" s="38"/>
      <c r="E10" s="11" t="s">
        <v>19</v>
      </c>
      <c r="F10" s="11" t="s">
        <v>14</v>
      </c>
      <c r="G10" s="26">
        <v>100000000</v>
      </c>
      <c r="H10" s="12">
        <v>0</v>
      </c>
      <c r="I10" s="13">
        <v>1</v>
      </c>
      <c r="J10" s="11" t="s">
        <v>23</v>
      </c>
      <c r="K10" s="29"/>
      <c r="L10" s="11" t="s">
        <v>28</v>
      </c>
      <c r="M10" s="11" t="s">
        <v>21</v>
      </c>
      <c r="N10" s="10" t="s">
        <v>11</v>
      </c>
      <c r="O10" s="10" t="s">
        <v>14</v>
      </c>
      <c r="P10" s="15">
        <v>100000000</v>
      </c>
      <c r="Q10" s="15">
        <v>0</v>
      </c>
      <c r="R10" s="16">
        <v>1</v>
      </c>
      <c r="S10" s="10" t="s">
        <v>29</v>
      </c>
      <c r="T10" s="14"/>
      <c r="U10" s="10" t="s">
        <v>28</v>
      </c>
      <c r="V10" s="10" t="s">
        <v>21</v>
      </c>
      <c r="W10" s="11" t="s">
        <v>62</v>
      </c>
      <c r="X10" s="11" t="s">
        <v>62</v>
      </c>
      <c r="Y10" s="11" t="s">
        <v>68</v>
      </c>
      <c r="Z10" s="11" t="s">
        <v>62</v>
      </c>
    </row>
    <row r="11" spans="1:26" x14ac:dyDescent="0.35">
      <c r="A11" s="3" t="s">
        <v>41</v>
      </c>
      <c r="B11" s="4" t="s">
        <v>36</v>
      </c>
      <c r="C11" s="4" t="s">
        <v>14</v>
      </c>
      <c r="D11" s="4" t="s">
        <v>14</v>
      </c>
      <c r="E11" s="1" t="s">
        <v>19</v>
      </c>
      <c r="F11" s="1" t="s">
        <v>14</v>
      </c>
      <c r="G11" s="27">
        <v>100000000</v>
      </c>
      <c r="H11" s="6"/>
      <c r="I11" s="6"/>
      <c r="J11" s="6"/>
      <c r="K11" s="25">
        <v>3</v>
      </c>
      <c r="L11" s="1" t="s">
        <v>50</v>
      </c>
      <c r="M11" s="1" t="s">
        <v>21</v>
      </c>
      <c r="N11" s="4" t="s">
        <v>11</v>
      </c>
      <c r="O11" s="4" t="s">
        <v>18</v>
      </c>
      <c r="P11" s="6"/>
      <c r="Q11" s="6"/>
      <c r="R11" s="6"/>
      <c r="S11" s="6"/>
      <c r="T11" s="5">
        <v>0</v>
      </c>
      <c r="U11" s="4" t="s">
        <v>50</v>
      </c>
      <c r="V11" s="4" t="s">
        <v>21</v>
      </c>
      <c r="W11" s="6"/>
      <c r="X11" s="1" t="s">
        <v>62</v>
      </c>
      <c r="Y11" s="6"/>
      <c r="Z11" s="1" t="s">
        <v>60</v>
      </c>
    </row>
    <row r="12" spans="1:26" x14ac:dyDescent="0.35">
      <c r="A12" s="3" t="s">
        <v>40</v>
      </c>
      <c r="B12" s="4" t="s">
        <v>36</v>
      </c>
      <c r="C12" s="4" t="s">
        <v>14</v>
      </c>
      <c r="D12" s="4" t="s">
        <v>14</v>
      </c>
      <c r="E12" s="1" t="s">
        <v>19</v>
      </c>
      <c r="F12" s="1" t="s">
        <v>14</v>
      </c>
      <c r="G12" s="27">
        <v>100000000</v>
      </c>
      <c r="H12" s="6"/>
      <c r="I12" s="6"/>
      <c r="J12" s="6"/>
      <c r="K12" s="25">
        <v>3</v>
      </c>
      <c r="L12" s="1" t="s">
        <v>20</v>
      </c>
      <c r="M12" s="1" t="s">
        <v>21</v>
      </c>
      <c r="N12" s="4" t="s">
        <v>11</v>
      </c>
      <c r="O12" s="4" t="s">
        <v>16</v>
      </c>
      <c r="P12" s="6"/>
      <c r="Q12" s="6"/>
      <c r="R12" s="6"/>
      <c r="S12" s="6"/>
      <c r="T12" s="5">
        <v>0</v>
      </c>
      <c r="U12" s="4" t="s">
        <v>20</v>
      </c>
      <c r="V12" s="4" t="s">
        <v>21</v>
      </c>
      <c r="W12" s="6"/>
      <c r="X12" s="1" t="s">
        <v>62</v>
      </c>
      <c r="Y12" s="6"/>
      <c r="Z12" s="1" t="s">
        <v>64</v>
      </c>
    </row>
    <row r="13" spans="1:26" x14ac:dyDescent="0.35">
      <c r="A13" s="3" t="s">
        <v>42</v>
      </c>
      <c r="B13" s="4" t="s">
        <v>36</v>
      </c>
      <c r="C13" s="4" t="s">
        <v>14</v>
      </c>
      <c r="D13" s="4" t="s">
        <v>16</v>
      </c>
      <c r="E13" s="1" t="s">
        <v>19</v>
      </c>
      <c r="F13" s="1" t="s">
        <v>16</v>
      </c>
      <c r="G13" s="27">
        <v>100000000</v>
      </c>
      <c r="H13" s="6"/>
      <c r="I13" s="6"/>
      <c r="J13" s="6"/>
      <c r="K13" s="25">
        <v>9</v>
      </c>
      <c r="L13" s="1" t="s">
        <v>20</v>
      </c>
      <c r="M13" s="1" t="s">
        <v>21</v>
      </c>
      <c r="N13" s="4" t="s">
        <v>11</v>
      </c>
      <c r="O13" s="4" t="s">
        <v>15</v>
      </c>
      <c r="P13" s="6"/>
      <c r="Q13" s="6"/>
      <c r="R13" s="6"/>
      <c r="S13" s="6"/>
      <c r="T13" s="5">
        <v>0</v>
      </c>
      <c r="U13" s="4" t="s">
        <v>20</v>
      </c>
      <c r="V13" s="4" t="s">
        <v>21</v>
      </c>
      <c r="W13" s="6"/>
      <c r="X13" s="1" t="s">
        <v>64</v>
      </c>
      <c r="Y13" s="6"/>
      <c r="Z13" s="1" t="s">
        <v>65</v>
      </c>
    </row>
    <row r="14" spans="1:26" x14ac:dyDescent="0.35">
      <c r="A14" s="3" t="s">
        <v>43</v>
      </c>
      <c r="B14" s="4" t="s">
        <v>36</v>
      </c>
      <c r="C14" s="4" t="s">
        <v>14</v>
      </c>
      <c r="D14" s="4" t="s">
        <v>14</v>
      </c>
      <c r="E14" s="1" t="s">
        <v>19</v>
      </c>
      <c r="F14" s="1" t="s">
        <v>15</v>
      </c>
      <c r="G14" s="27">
        <v>500000</v>
      </c>
      <c r="H14" s="6"/>
      <c r="I14" s="6"/>
      <c r="J14" s="6"/>
      <c r="K14" s="25">
        <v>5</v>
      </c>
      <c r="L14" s="1" t="s">
        <v>20</v>
      </c>
      <c r="M14" s="1" t="s">
        <v>21</v>
      </c>
      <c r="N14" s="4" t="s">
        <v>11</v>
      </c>
      <c r="O14" s="4" t="s">
        <v>14</v>
      </c>
      <c r="P14" s="6"/>
      <c r="Q14" s="6"/>
      <c r="R14" s="6"/>
      <c r="S14" s="6"/>
      <c r="T14" s="5">
        <v>5</v>
      </c>
      <c r="U14" s="4" t="s">
        <v>20</v>
      </c>
      <c r="V14" s="4" t="s">
        <v>21</v>
      </c>
      <c r="W14" s="6"/>
      <c r="X14" s="1" t="s">
        <v>65</v>
      </c>
      <c r="Y14" s="6"/>
      <c r="Z14" s="1" t="s">
        <v>62</v>
      </c>
    </row>
    <row r="15" spans="1:26" x14ac:dyDescent="0.35">
      <c r="G15" s="2"/>
      <c r="P15" s="2"/>
      <c r="Q1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Templates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rpfeuti4</dc:creator>
  <cp:lastModifiedBy>rpfeuti4</cp:lastModifiedBy>
  <dcterms:created xsi:type="dcterms:W3CDTF">2022-06-01T13:20:27Z</dcterms:created>
  <dcterms:modified xsi:type="dcterms:W3CDTF">2023-01-17T12:53:54Z</dcterms:modified>
</cp:coreProperties>
</file>